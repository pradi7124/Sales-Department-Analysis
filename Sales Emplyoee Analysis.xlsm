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Users\prady\Desktop\EXCEL PROJECTS\Sales Department Analysis\"/>
    </mc:Choice>
  </mc:AlternateContent>
  <xr:revisionPtr revIDLastSave="0" documentId="13_ncr:1_{FF6B9A42-AE64-49CA-AF9F-B7714EDF1665}" xr6:coauthVersionLast="47" xr6:coauthVersionMax="47" xr10:uidLastSave="{00000000-0000-0000-0000-000000000000}"/>
  <bookViews>
    <workbookView xWindow="-108" yWindow="-108" windowWidth="23256" windowHeight="13176" xr2:uid="{81D512C5-DFD0-45A9-BA7A-3679803E1A90}"/>
  </bookViews>
  <sheets>
    <sheet name="DASHBOARD" sheetId="5"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9" i="1" l="1"/>
  <c r="K9" i="1" s="1"/>
  <c r="L9" i="1" s="1"/>
  <c r="M4" i="5"/>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<sst xmlns="http://schemas.openxmlformats.org/spreadsheetml/2006/main" count="469" uniqueCount="312">
  <si>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</si>
  <si>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</si>
  <si>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</si>
  <si>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</si>
  <si>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</si>
  <si>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</si>
  <si>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</si>
  <si>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</si>
  <si>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</si>
  <si>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</si>
  <si>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</si>
  <si>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</si>
  <si>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</si>
  <si>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</si>
  <si>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</si>
  <si>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</si>
  <si>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</si>
  <si>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</si>
  <si>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</si>
  <si>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</si>
  <si>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</si>
  <si>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</si>
  <si>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</si>
  <si>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</si>
  <si>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</si>
  <si>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</si>
  <si>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</si>
  <si>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</si>
  <si>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</si>
  <si>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</si>
  <si>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</si>
  <si>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</si>
  <si>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</si>
  <si>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</si>
  <si>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</si>
  <si>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</si>
  <si>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</si>
  <si>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</si>
  <si>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</si>
  <si>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</si>
  <si>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</si>
  <si>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</si>
  <si>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</si>
  <si>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</si>
  <si>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</si>
  <si>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</si>
  <si>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</si>
  <si>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</si>
  <si>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</si>
  <si>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</si>
  <si>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</si>
  <si>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</si>
  <si>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</si>
  <si>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</si>
  <si>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</si>
  <si>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</si>
  <si>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</si>
  <si>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</si>
  <si>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</si>
  <si>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</si>
  <si>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</si>
  <si>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</si>
  <si>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</si>
  <si>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</si>
  <si>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</si>
  <si>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</si>
  <si>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</si>
  <si>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</si>
  <si>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</si>
  <si>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</si>
  <si>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</si>
  <si>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</si>
  <si>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</si>
  <si>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</si>
  <si>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</si>
  <si>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</si>
  <si>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</si>
  <si>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</si>
  <si>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</si>
  <si>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</si>
  <si>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</si>
  <si>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</si>
  <si>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</si>
  <si>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</si>
  <si>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</si>
  <si>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</si>
  <si>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</si>
  <si>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</si>
  <si>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</si>
  <si>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</si>
  <si>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</si>
  <si>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</si>
  <si>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</si>
  <si>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</si>
  <si>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</si>
  <si>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</si>
  <si>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</si>
  <si>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</si>
  <si>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</si>
  <si>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</si>
  <si>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</si>
  <si>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</si>
  <si>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</si>
  <si>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</si>
  <si>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</si>
  <si>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</si>
  <si>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</si>
  <si>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</si>
  <si>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</si>
  <si>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</si>
  <si>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</si>
  <si>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</si>
  <si>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</si>
  <si>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</si>
  <si>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</si>
  <si>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</si>
  <si>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</si>
  <si>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</si>
  <si>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</si>
  <si>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</si>
  <si>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</si>
  <si>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</si>
  <si>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</si>
  <si>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</si>
  <si>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</si>
  <si>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</si>
  <si>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</si>
  <si>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</si>
  <si>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</si>
  <si>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</si>
  <si>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</si>
  <si>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</si>
  <si>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</si>
  <si>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</si>
  <si>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</si>
  <si>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</si>
  <si>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</si>
  <si>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</si>
  <si>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</si>
  <si>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</si>
  <si>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</si>
  <si>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</si>
  <si>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</si>
  <si>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</si>
  <si>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</si>
  <si>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</si>
  <si>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</si>
  <si>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</si>
  <si>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</si>
  <si>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</si>
  <si>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</si>
  <si>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</si>
  <si>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</si>
  <si>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</si>
  <si>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</si>
  <si>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</si>
  <si>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</si>
  <si>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</si>
  <si>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</si>
  <si>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</si>
  <si>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</si>
  <si>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</si>
  <si>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</si>
  <si>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</si>
  <si>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</si>
  <si>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</si>
  <si>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</si>
  <si>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</si>
  <si>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</si>
  <si>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</si>
  <si>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</si>
  <si>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</si>
  <si>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</si>
  <si>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</si>
  <si>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</si>
  <si>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</si>
  <si>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</si>
  <si>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</si>
  <si>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</si>
  <si>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</si>
  <si>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</si>
  <si>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</si>
  <si>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</si>
  <si>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</si>
  <si>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</si>
  <si>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</si>
  <si>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</si>
  <si>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</si>
  <si>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</si>
  <si>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</si>
  <si>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</si>
  <si>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</si>
  <si>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</si>
  <si>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</si>
  <si>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</si>
  <si>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</si>
  <si>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</si>
  <si>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</si>
  <si>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</si>
  <si>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</si>
  <si>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</si>
  <si>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</si>
  <si>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</si>
  <si>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</si>
  <si>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</si>
  <si>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</si>
  <si>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</si>
  <si>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</si>
  <si>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</si>
  <si>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</si>
  <si>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</si>
  <si>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</si>
  <si>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</si>
  <si>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</si>
  <si>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</si>
  <si>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</si>
  <si>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</si>
  <si>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</si>
  <si>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</si>
  <si>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</si>
  <si>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</si>
  <si>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</si>
  <si>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</si>
  <si>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</si>
  <si>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</si>
  <si>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</si>
  <si>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</si>
  <si>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</si>
  <si>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</si>
  <si>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</si>
  <si>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</si>
  <si>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</si>
  <si>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</si>
  <si>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</si>
  <si>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</si>
  <si>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</si>
  <si>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</si>
  <si>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</si>
  <si>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</si>
  <si>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</si>
  <si>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</si>
  <si>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</si>
  <si>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</si>
  <si>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</si>
  <si>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</si>
  <si>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</si>
  <si>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</si>
  <si>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</si>
  <si>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</si>
  <si>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</si>
  <si>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</si>
  <si>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</si>
  <si>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</si>
  <si>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</si>
  <si>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</si>
  <si>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</si>
  <si>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</si>
  <si>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</si>
  <si>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</si>
  <si>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</si>
  <si>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</si>
  <si>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</si>
  <si>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</si>
  <si>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</si>
  <si>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</si>
  <si>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</si>
  <si>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</si>
  <si>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</si>
  <si>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</si>
  <si>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</si>
  <si>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</si>
  <si>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</si>
  <si>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</si>
  <si>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</si>
  <si>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</si>
  <si>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</si>
  <si>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</si>
  <si>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</si>
  <si>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</si>
  <si>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</si>
  <si>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</si>
  <si>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</si>
  <si>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</si>
  <si>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</si>
  <si>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</si>
  <si>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</si>
  <si>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</si>
  <si>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</si>
  <si>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</si>
  <si>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</si>
  <si>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</si>
  <si>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</si>
  <si>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</si>
  <si>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</si>
  <si>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</si>
  <si>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</si>
  <si>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</si>
  <si>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</si>
  <si>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</si>
  <si>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</si>
  <si>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</si>
  <si>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</si>
  <si>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</si>
  <si>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Total Sales (TOP 10)</t>
  </si>
  <si>
    <t>Total Sales (BOTTOM 10)</t>
  </si>
  <si>
    <t xml:space="preserve"> Target Hit % (TOP 5)</t>
  </si>
  <si>
    <t>Away From Target % (TOP 5)</t>
  </si>
  <si>
    <t>PERFORMANCE ANALYSIS OF THE SALES EXECUTIVE OF AN ORGANIZATIONS</t>
  </si>
  <si>
    <t xml:space="preserve">Region </t>
  </si>
  <si>
    <t>TOTAL EXECUTIVES</t>
  </si>
  <si>
    <t>Executives</t>
  </si>
  <si>
    <t>SELECT REGION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</si>
</sst>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1"/>
      <name val="Times New Roman"/>
      <family val="1"/>
    </font>
    <font>
      <b/>
      <sz val="11"/>
      <color theme="1"/>
      <name val="Times New Roman"/>
      <family val="1"/>
    </font>
    <font>
      <b/>
      <sz val="20"/>
      <color theme="1"/>
      <name val="Times New Roman"/>
      <family val="1"/>
    </font>
    <font>
      <b/>
      <sz val="16"/>
      <color theme="1"/>
      <name val="Times New Roman"/>
      <family val="1"/>
    </font>
    <font>
      <b/>
      <sz val="22"/>
      <color theme="1"/>
      <name val="Times New Roman"/>
      <family val="1"/>
    </font>
    <font>
      <b/>
      <sz val="14"/>
      <color theme="1"/>
      <name val="Times New Roman"/>
      <family val="1"/>
    </font>
    <font>
      <sz val="20"/>
      <color theme="1"/>
      <name val="Times New Roman"/>
      <family val="1"/>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rgb="FF99CC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4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5" fillId="0" borderId="0" xfId="0" pivotButton="1" applyFont="1" applyAlignment="1">
      <alignment horizontal="center"/>
    </xf>
    <xf numFmtId="0" fontId="5" fillId="0" borderId="0" xfId="0" applyFont="1" applyAlignment="1">
      <alignment horizontal="center"/>
    </xf>
    <xf numFmtId="0" fontId="11" fillId="0" borderId="0" xfId="0" pivotButton="1" applyFont="1"/>
    <xf numFmtId="0" fontId="11" fillId="0" borderId="0" xfId="0" applyFont="1" applyAlignment="1">
      <alignment horizontal="center"/>
    </xf>
    <xf numFmtId="10" fontId="5" fillId="0" borderId="2" xfId="0" applyNumberFormat="1" applyFont="1" applyBorder="1"/>
    <xf numFmtId="10" fontId="5" fillId="0" borderId="3" xfId="0" applyNumberFormat="1" applyFont="1" applyBorder="1"/>
    <xf numFmtId="10" fontId="5" fillId="0" borderId="4" xfId="0" applyNumberFormat="1" applyFont="1" applyBorder="1"/>
    <xf numFmtId="0" fontId="11" fillId="0" borderId="1" xfId="0" applyFont="1" applyBorder="1" applyAlignment="1">
      <alignment horizontal="left"/>
    </xf>
    <xf numFmtId="0" fontId="5" fillId="4" borderId="0" xfId="0" applyFont="1" applyFill="1"/>
    <xf numFmtId="0" fontId="10" fillId="4" borderId="0" xfId="0" applyFont="1" applyFill="1" applyAlignment="1">
      <alignment vertical="center" wrapText="1"/>
    </xf>
    <xf numFmtId="0" fontId="8" fillId="4" borderId="0" xfId="0" applyFont="1" applyFill="1" applyAlignment="1">
      <alignment vertical="center" wrapText="1"/>
    </xf>
    <xf numFmtId="0" fontId="9" fillId="4" borderId="0" xfId="0" applyFont="1" applyFill="1" applyAlignment="1">
      <alignment vertical="center"/>
    </xf>
    <xf numFmtId="0" fontId="6" fillId="4" borderId="0" xfId="0" applyFont="1" applyFill="1" applyAlignment="1">
      <alignment wrapText="1"/>
    </xf>
    <xf numFmtId="14" fontId="5" fillId="4" borderId="0" xfId="0" applyNumberFormat="1" applyFont="1" applyFill="1"/>
    <xf numFmtId="0" fontId="0" fillId="4" borderId="0" xfId="0" applyFill="1"/>
    <xf numFmtId="0" fontId="5" fillId="0" borderId="0" xfId="0" applyFont="1" applyAlignment="1">
      <alignment horizontal="left"/>
    </xf>
    <xf numFmtId="0" fontId="5" fillId="0" borderId="6" xfId="0" applyNumberFormat="1" applyFont="1" applyBorder="1"/>
    <xf numFmtId="0" fontId="5" fillId="0" borderId="7" xfId="0" applyNumberFormat="1" applyFont="1" applyBorder="1"/>
    <xf numFmtId="0" fontId="5" fillId="0" borderId="8" xfId="0" applyNumberFormat="1" applyFont="1" applyBorder="1"/>
    <xf numFmtId="0" fontId="5" fillId="0" borderId="2" xfId="0" applyNumberFormat="1" applyFont="1" applyBorder="1"/>
    <xf numFmtId="0" fontId="5" fillId="0" borderId="3" xfId="0" applyNumberFormat="1" applyFont="1" applyBorder="1"/>
    <xf numFmtId="0" fontId="5" fillId="0" borderId="4" xfId="0" applyNumberFormat="1" applyFont="1" applyBorder="1"/>
    <xf numFmtId="0" fontId="7" fillId="5" borderId="1" xfId="0" applyFont="1" applyFill="1" applyBorder="1" applyAlignment="1">
      <alignment horizontal="center" vertical="center"/>
    </xf>
    <xf numFmtId="0" fontId="10" fillId="5" borderId="9" xfId="0" applyFont="1" applyFill="1" applyBorder="1" applyAlignment="1">
      <alignment horizontal="center" vertical="center"/>
    </xf>
    <xf numFmtId="0" fontId="10" fillId="5" borderId="13" xfId="0" applyFont="1" applyFill="1" applyBorder="1" applyAlignment="1">
      <alignment horizontal="center" vertical="center"/>
    </xf>
    <xf numFmtId="0" fontId="10" fillId="5" borderId="5" xfId="0" applyFont="1" applyFill="1" applyBorder="1" applyAlignment="1">
      <alignment horizontal="center" vertical="center"/>
    </xf>
    <xf numFmtId="0" fontId="9" fillId="5" borderId="11" xfId="0" applyFont="1" applyFill="1" applyBorder="1" applyAlignment="1">
      <alignment horizontal="center" vertical="center"/>
    </xf>
    <xf numFmtId="0" fontId="9" fillId="5" borderId="7" xfId="0" applyFont="1" applyFill="1" applyBorder="1" applyAlignment="1">
      <alignment horizontal="center" vertical="center"/>
    </xf>
    <xf numFmtId="0" fontId="9" fillId="5" borderId="12" xfId="0" applyFont="1" applyFill="1" applyBorder="1" applyAlignment="1">
      <alignment horizontal="center" vertical="center"/>
    </xf>
    <xf numFmtId="0" fontId="9" fillId="5" borderId="8" xfId="0" applyFont="1" applyFill="1" applyBorder="1" applyAlignment="1">
      <alignment horizontal="center" vertical="center"/>
    </xf>
    <xf numFmtId="0" fontId="10" fillId="5" borderId="10" xfId="0" applyFont="1" applyFill="1" applyBorder="1" applyAlignment="1">
      <alignment horizontal="center" vertical="center" wrapText="1"/>
    </xf>
    <xf numFmtId="0" fontId="10" fillId="5" borderId="6" xfId="0" applyFont="1" applyFill="1" applyBorder="1" applyAlignment="1">
      <alignment horizontal="center" vertical="center" wrapText="1"/>
    </xf>
    <xf numFmtId="0" fontId="10" fillId="5" borderId="11" xfId="0" applyFont="1" applyFill="1" applyBorder="1" applyAlignment="1">
      <alignment horizontal="center" vertical="center" wrapText="1"/>
    </xf>
    <xf numFmtId="0" fontId="10" fillId="5" borderId="7" xfId="0" applyFont="1" applyFill="1" applyBorder="1" applyAlignment="1">
      <alignment horizontal="center" vertical="center" wrapText="1"/>
    </xf>
    <xf numFmtId="0" fontId="11" fillId="0" borderId="1" xfId="0" applyNumberFormat="1" applyFont="1" applyBorder="1"/>
    <xf numFmtId="0" fontId="5" fillId="0" borderId="10" xfId="0" applyFont="1" applyBorder="1" applyAlignment="1">
      <alignment horizontal="left"/>
    </xf>
    <xf numFmtId="0" fontId="5" fillId="0" borderId="11" xfId="0" applyFont="1" applyBorder="1" applyAlignment="1">
      <alignment horizontal="left"/>
    </xf>
    <xf numFmtId="0" fontId="5" fillId="0" borderId="12" xfId="0" applyFont="1" applyBorder="1" applyAlignment="1">
      <alignment horizontal="left"/>
    </xf>
  </cellXfs>
  <cellStyles count="2">
    <cellStyle name="Normal" xfId="0" builtinId="0"/>
    <cellStyle name="Percent" xfId="1" builtinId="5"/>
  </cellStyles>
  <dxfs count="336">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ill>
        <patternFill>
          <bgColor theme="1"/>
        </patternFill>
      </fill>
    </dxf>
    <dxf>
      <fill>
        <patternFill>
          <bgColor rgb="FF0066FF"/>
        </patternFill>
      </fill>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20"/>
      </font>
    </dxf>
    <dxf>
      <font>
        <sz val="20"/>
      </font>
    </dxf>
    <dxf>
      <font>
        <sz val="20"/>
      </font>
    </dxf>
    <dxf>
      <font>
        <sz val="20"/>
      </font>
    </dxf>
    <dxf>
      <font>
        <sz val="20"/>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border>
        <left style="thin">
          <color indexed="64"/>
        </lef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border>
        <left style="thin">
          <color indexed="64"/>
        </lef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fill>
        <patternFill>
          <bgColor theme="1" tint="0.24994659260841701"/>
        </patternFill>
      </fill>
    </dxf>
    <dxf>
      <fill>
        <patternFill>
          <bgColor theme="1"/>
        </patternFill>
      </fill>
    </dxf>
    <dxf>
      <fill>
        <patternFill>
          <bgColor theme="4"/>
        </patternFill>
      </fill>
      <border>
        <left style="thin">
          <color auto="1"/>
        </left>
        <right style="thin">
          <color auto="1"/>
        </right>
        <top style="thin">
          <color auto="1"/>
        </top>
        <bottom style="thin">
          <color auto="1"/>
        </bottom>
        <vertical style="thin">
          <color auto="1"/>
        </vertical>
        <horizontal style="thin">
          <color auto="1"/>
        </horizontal>
      </border>
    </dxf>
  </dxfs>
  <tableStyles count="4" defaultTableStyle="TableStyleMedium2" defaultPivotStyle="PivotStyleLight16">
    <tableStyle name="PivotTable Style 1" table="0" count="2" xr9:uid="{804B6430-CFDA-4150-A665-69933B41F177}">
      <tableStyleElement type="wholeTable" dxfId="335"/>
      <tableStyleElement type="headerRow" dxfId="334"/>
    </tableStyle>
    <tableStyle name="PivotTable Style 2" table="0" count="2" xr9:uid="{5551580D-F4F7-4EF2-A661-E1A09DEF8A65}">
      <tableStyleElement type="wholeTable" dxfId="261"/>
      <tableStyleElement type="headerRow" dxfId="260"/>
    </tableStyle>
    <tableStyle name="Slicer Style 1" pivot="0" table="0" count="5" xr9:uid="{17EF5ED5-5FB7-4E09-A385-A5B61C16B0B7}">
      <tableStyleElement type="wholeTable" dxfId="333"/>
    </tableStyle>
    <tableStyle name="Slicer Style 2" pivot="0" table="0" count="2" xr9:uid="{68171FFF-3A63-45CC-A9AA-3D165E5C5CEF}"/>
  </tableStyles>
  <colors>
    <mruColors>
      <color rgb="FF0066FF"/>
      <color rgb="FF99CCFF"/>
      <color rgb="FF66CCFF"/>
      <color rgb="FF0070C0"/>
    </mruColors>
  </colors>
  <extLst>
    <ext xmlns:x14="http://schemas.microsoft.com/office/spreadsheetml/2009/9/main" uri="{46F421CA-312F-682f-3DD2-61675219B42D}">
      <x14:dxfs count="6">
        <dxf>
          <fill>
            <patternFill>
              <bgColor rgb="FF99CCFF"/>
            </patternFill>
          </fill>
        </dxf>
        <dxf>
          <fill>
            <patternFill>
              <bgColor rgb="FF0066FF"/>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s>
        </x14:slicerStyle>
        <x14:slicerStyle name="Slicer Style 2">
          <x14:slicerStyleElements>
            <x14:slicerStyleElement type="unselectedItemWithData" dxfId="0"/>
            <x14:slicerStyleElement type="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Emplyoee Analysis.xlsm]DASHBOARD!PivotTable5</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5 BEST PERFORMING EXECUTIVES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DASHBOARD!$B$10</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DASHBOARD!$A$11:$A$15</c:f>
              <c:strCache>
                <c:ptCount val="5"/>
                <c:pt idx="0">
                  <c:v>Afzal Husain</c:v>
                </c:pt>
                <c:pt idx="1">
                  <c:v>Kavita Sharma</c:v>
                </c:pt>
                <c:pt idx="2">
                  <c:v>Miny Mole</c:v>
                </c:pt>
                <c:pt idx="3">
                  <c:v>Shailendra Barge</c:v>
                </c:pt>
                <c:pt idx="4">
                  <c:v>Surendra Kumar</c:v>
                </c:pt>
              </c:strCache>
            </c:strRef>
          </c:cat>
          <c:val>
            <c:numRef>
              <c:f>DASHBOARD!$B$11:$B$15</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8F9E-4F11-8CDE-7FDAE240C637}"/>
            </c:ext>
          </c:extLst>
        </c:ser>
        <c:dLbls>
          <c:showLegendKey val="0"/>
          <c:showVal val="1"/>
          <c:showCatName val="0"/>
          <c:showSerName val="0"/>
          <c:showPercent val="0"/>
          <c:showBubbleSize val="0"/>
        </c:dLbls>
        <c:gapWidth val="150"/>
        <c:shape val="box"/>
        <c:axId val="1248628767"/>
        <c:axId val="1248632607"/>
        <c:axId val="0"/>
      </c:bar3DChart>
      <c:catAx>
        <c:axId val="12486287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48632607"/>
        <c:crosses val="autoZero"/>
        <c:auto val="1"/>
        <c:lblAlgn val="ctr"/>
        <c:lblOffset val="100"/>
        <c:noMultiLvlLbl val="0"/>
      </c:catAx>
      <c:valAx>
        <c:axId val="1248632607"/>
        <c:scaling>
          <c:orientation val="minMax"/>
        </c:scaling>
        <c:delete val="1"/>
        <c:axPos val="b"/>
        <c:numFmt formatCode="General" sourceLinked="1"/>
        <c:majorTickMark val="none"/>
        <c:minorTickMark val="none"/>
        <c:tickLblPos val="nextTo"/>
        <c:crossAx val="1248628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Emplyoee Analysis.xlsm]DASHBOARD!PivotTable7</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 5 HIGHEST TAGET COMPLETION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53660231723371"/>
          <c:y val="0.27054952238776847"/>
          <c:w val="0.54598449726494469"/>
          <c:h val="0.65152796885519426"/>
        </c:manualLayout>
      </c:layout>
      <c:radarChart>
        <c:radarStyle val="marker"/>
        <c:varyColors val="0"/>
        <c:ser>
          <c:idx val="0"/>
          <c:order val="0"/>
          <c:tx>
            <c:strRef>
              <c:f>DASHBOARD!$H$10</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DASHBOARD!$G$11:$G$15</c:f>
              <c:strCache>
                <c:ptCount val="5"/>
                <c:pt idx="0">
                  <c:v>Afzal Husain</c:v>
                </c:pt>
                <c:pt idx="1">
                  <c:v>Kavita Sharma</c:v>
                </c:pt>
                <c:pt idx="2">
                  <c:v>Miny Mole</c:v>
                </c:pt>
                <c:pt idx="3">
                  <c:v>Shailendra Barge</c:v>
                </c:pt>
                <c:pt idx="4">
                  <c:v>Surendra Kumar</c:v>
                </c:pt>
              </c:strCache>
            </c:strRef>
          </c:cat>
          <c:val>
            <c:numRef>
              <c:f>DASHBOARD!$H$11:$H$15</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719D-422D-BCD3-A277957A7E58}"/>
            </c:ext>
          </c:extLst>
        </c:ser>
        <c:dLbls>
          <c:showLegendKey val="0"/>
          <c:showVal val="0"/>
          <c:showCatName val="0"/>
          <c:showSerName val="0"/>
          <c:showPercent val="0"/>
          <c:showBubbleSize val="0"/>
        </c:dLbls>
        <c:axId val="1248666207"/>
        <c:axId val="1248650367"/>
      </c:radarChart>
      <c:catAx>
        <c:axId val="12486662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48650367"/>
        <c:crosses val="autoZero"/>
        <c:auto val="1"/>
        <c:lblAlgn val="ctr"/>
        <c:lblOffset val="100"/>
        <c:noMultiLvlLbl val="0"/>
      </c:catAx>
      <c:valAx>
        <c:axId val="1248650367"/>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1248666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Emplyoee Analysis.xlsm]DASHBOARD!PivotTable8</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EXECUTIVES FARTHEST FROM TARGET</a:t>
            </a:r>
          </a:p>
        </c:rich>
      </c:tx>
      <c:layout>
        <c:manualLayout>
          <c:xMode val="edge"/>
          <c:yMode val="edge"/>
          <c:x val="0.15272790249851667"/>
          <c:y val="2.6744180332989614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142042340861239"/>
          <c:y val="0.33817954641897308"/>
          <c:w val="0.51715915318277528"/>
          <c:h val="0.56361057412733584"/>
        </c:manualLayout>
      </c:layout>
      <c:radarChart>
        <c:radarStyle val="marker"/>
        <c:varyColors val="0"/>
        <c:ser>
          <c:idx val="0"/>
          <c:order val="0"/>
          <c:tx>
            <c:strRef>
              <c:f>DASHBOARD!$K$10</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DASHBOARD!$J$11:$J$15</c:f>
              <c:strCache>
                <c:ptCount val="5"/>
                <c:pt idx="0">
                  <c:v>Atul Kumar</c:v>
                </c:pt>
                <c:pt idx="1">
                  <c:v>John D'Costa</c:v>
                </c:pt>
                <c:pt idx="2">
                  <c:v>Rakhi Jodhani</c:v>
                </c:pt>
                <c:pt idx="3">
                  <c:v>Rekha Jain </c:v>
                </c:pt>
                <c:pt idx="4">
                  <c:v>Salim</c:v>
                </c:pt>
              </c:strCache>
            </c:strRef>
          </c:cat>
          <c:val>
            <c:numRef>
              <c:f>DASHBOARD!$K$11:$K$15</c:f>
              <c:numCache>
                <c:formatCode>0.00%</c:formatCode>
                <c:ptCount val="5"/>
                <c:pt idx="0">
                  <c:v>0.51</c:v>
                </c:pt>
                <c:pt idx="1">
                  <c:v>0.57800000000000007</c:v>
                </c:pt>
                <c:pt idx="2">
                  <c:v>0.502</c:v>
                </c:pt>
                <c:pt idx="3">
                  <c:v>0.57400000000000007</c:v>
                </c:pt>
                <c:pt idx="4">
                  <c:v>0.57200000000000006</c:v>
                </c:pt>
              </c:numCache>
            </c:numRef>
          </c:val>
          <c:extLst>
            <c:ext xmlns:c16="http://schemas.microsoft.com/office/drawing/2014/chart" uri="{C3380CC4-5D6E-409C-BE32-E72D297353CC}">
              <c16:uniqueId val="{00000000-8543-4D0C-9B24-F61FCB349F38}"/>
            </c:ext>
          </c:extLst>
        </c:ser>
        <c:dLbls>
          <c:showLegendKey val="0"/>
          <c:showVal val="0"/>
          <c:showCatName val="0"/>
          <c:showSerName val="0"/>
          <c:showPercent val="0"/>
          <c:showBubbleSize val="0"/>
        </c:dLbls>
        <c:axId val="1248670047"/>
        <c:axId val="1248670527"/>
      </c:radarChart>
      <c:catAx>
        <c:axId val="12486700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48670527"/>
        <c:crosses val="autoZero"/>
        <c:auto val="1"/>
        <c:lblAlgn val="ctr"/>
        <c:lblOffset val="100"/>
        <c:noMultiLvlLbl val="0"/>
      </c:catAx>
      <c:valAx>
        <c:axId val="1248670527"/>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1248670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16387</xdr:colOff>
      <xdr:row>15</xdr:row>
      <xdr:rowOff>160736</xdr:rowOff>
    </xdr:from>
    <xdr:to>
      <xdr:col>5</xdr:col>
      <xdr:colOff>18292</xdr:colOff>
      <xdr:row>31</xdr:row>
      <xdr:rowOff>163871</xdr:rowOff>
    </xdr:to>
    <xdr:graphicFrame macro="">
      <xdr:nvGraphicFramePr>
        <xdr:cNvPr id="2" name="Chart 1">
          <a:extLst>
            <a:ext uri="{FF2B5EF4-FFF2-40B4-BE49-F238E27FC236}">
              <a16:creationId xmlns:a16="http://schemas.microsoft.com/office/drawing/2014/main" id="{B3417F13-A3BD-FECC-8638-18C21839C2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11430</xdr:colOff>
      <xdr:row>15</xdr:row>
      <xdr:rowOff>145554</xdr:rowOff>
    </xdr:from>
    <xdr:to>
      <xdr:col>8</xdr:col>
      <xdr:colOff>19050</xdr:colOff>
      <xdr:row>31</xdr:row>
      <xdr:rowOff>145084</xdr:rowOff>
    </xdr:to>
    <xdr:graphicFrame macro="">
      <xdr:nvGraphicFramePr>
        <xdr:cNvPr id="3" name="Chart 2">
          <a:extLst>
            <a:ext uri="{FF2B5EF4-FFF2-40B4-BE49-F238E27FC236}">
              <a16:creationId xmlns:a16="http://schemas.microsoft.com/office/drawing/2014/main" id="{C391F8F6-37DF-81D5-230E-0621371C27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186222</xdr:colOff>
      <xdr:row>15</xdr:row>
      <xdr:rowOff>152400</xdr:rowOff>
    </xdr:from>
    <xdr:to>
      <xdr:col>11</xdr:col>
      <xdr:colOff>38100</xdr:colOff>
      <xdr:row>31</xdr:row>
      <xdr:rowOff>123825</xdr:rowOff>
    </xdr:to>
    <xdr:graphicFrame macro="">
      <xdr:nvGraphicFramePr>
        <xdr:cNvPr id="4" name="Chart 3">
          <a:extLst>
            <a:ext uri="{FF2B5EF4-FFF2-40B4-BE49-F238E27FC236}">
              <a16:creationId xmlns:a16="http://schemas.microsoft.com/office/drawing/2014/main" id="{F337C6ED-67EE-D81C-0302-DD6CF36930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138546</xdr:colOff>
      <xdr:row>6</xdr:row>
      <xdr:rowOff>216478</xdr:rowOff>
    </xdr:from>
    <xdr:to>
      <xdr:col>11</xdr:col>
      <xdr:colOff>33771</xdr:colOff>
      <xdr:row>7</xdr:row>
      <xdr:rowOff>314325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9FC24813-77D2-0D97-CC5A-3E005462A13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38546" y="1292243"/>
              <a:ext cx="11872072" cy="4205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dy" refreshedDate="45760.804252662034" createdVersion="8" refreshedVersion="8" minRefreshableVersion="3" recordCount="141" xr:uid="{6767D1B7-FDE4-460B-80FA-D60E744170B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6517477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353F3A9-9319-4A83-85FC-608889A0531B}" name="PivotTable1" cacheId="0" applyNumberFormats="0" applyBorderFormats="0" applyFontFormats="0" applyPatternFormats="0" applyAlignmentFormats="0" applyWidthHeightFormats="1" dataCaption="Values" updatedVersion="8" minRefreshableVersion="3" rowGrandTotals="0" itemPrintTitles="1" createdVersion="8" indent="0" multipleFieldFilters="0" chartFormat="11" rowHeaderCaption="Region ">
  <location ref="M7:N8" firstHeaderRow="1" firstDataRow="1" firstDataCol="1"/>
  <pivotFields count="12">
    <pivotField dataField="1"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axis="axisRow"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numFmtId="10" showAll="0"/>
  </pivotFields>
  <rowFields count="1">
    <field x="2"/>
  </rowFields>
  <rowItems count="1">
    <i>
      <x/>
    </i>
  </rowItems>
  <colItems count="1">
    <i/>
  </colItems>
  <dataFields count="1">
    <dataField name="Executives" fld="0" subtotal="count" baseField="2" baseItem="7"/>
  </dataFields>
  <formats count="13">
    <format dxfId="293">
      <pivotArea field="1" type="button" dataOnly="0" labelOnly="1" outline="0"/>
    </format>
    <format dxfId="292">
      <pivotArea dataOnly="0" labelOnly="1" outline="0" axis="axisValues" fieldPosition="0"/>
    </format>
    <format dxfId="291">
      <pivotArea type="all" dataOnly="0" outline="0" fieldPosition="0"/>
    </format>
    <format dxfId="290">
      <pivotArea outline="0" collapsedLevelsAreSubtotals="1" fieldPosition="0"/>
    </format>
    <format dxfId="289">
      <pivotArea field="1" type="button" dataOnly="0" labelOnly="1" outline="0"/>
    </format>
    <format dxfId="288">
      <pivotArea dataOnly="0" labelOnly="1" outline="0" axis="axisValues" fieldPosition="0"/>
    </format>
    <format dxfId="287">
      <pivotArea type="all" dataOnly="0" outline="0" fieldPosition="0"/>
    </format>
    <format dxfId="286">
      <pivotArea outline="0" collapsedLevelsAreSubtotals="1" fieldPosition="0"/>
    </format>
    <format dxfId="285">
      <pivotArea field="2" type="button" dataOnly="0" labelOnly="1" outline="0" axis="axisRow" fieldPosition="0"/>
    </format>
    <format dxfId="284">
      <pivotArea dataOnly="0" labelOnly="1" fieldPosition="0">
        <references count="1">
          <reference field="2" count="0"/>
        </references>
      </pivotArea>
    </format>
    <format dxfId="283">
      <pivotArea dataOnly="0" labelOnly="1" outline="0" axis="axisValues" fieldPosition="0"/>
    </format>
    <format dxfId="282">
      <pivotArea dataOnly="0" labelOnly="1" fieldPosition="0">
        <references count="1">
          <reference field="2" count="0"/>
        </references>
      </pivotArea>
    </format>
    <format dxfId="281">
      <pivotArea outline="0" collapsedLevelsAreSubtotals="1" fieldPosition="0"/>
    </format>
  </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FF9CDE-E9CA-45FE-BB84-C2EC4696606F}" name="PivotTable6" cacheId="0" applyNumberFormats="0" applyBorderFormats="0" applyFontFormats="0" applyPatternFormats="0" applyAlignmentFormats="0" applyWidthHeightFormats="1" dataCaption="Values" updatedVersion="8" minRefreshableVersion="3" rowGrandTotals="0" itemPrintTitles="1" createdVersion="8" indent="0" multipleFieldFilters="0">
  <location ref="D10:E15"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BOTTOM 10)" fld="8" baseField="1" baseItem="3"/>
  </dataFields>
  <formats count="10">
    <format dxfId="303">
      <pivotArea field="1" type="button" dataOnly="0" labelOnly="1" outline="0" axis="axisRow" fieldPosition="0"/>
    </format>
    <format dxfId="302">
      <pivotArea dataOnly="0" labelOnly="1" outline="0" axis="axisValues" fieldPosition="0"/>
    </format>
    <format dxfId="301">
      <pivotArea type="all" dataOnly="0" outline="0" fieldPosition="0"/>
    </format>
    <format dxfId="300">
      <pivotArea outline="0" collapsedLevelsAreSubtotals="1" fieldPosition="0"/>
    </format>
    <format dxfId="299">
      <pivotArea field="1" type="button" dataOnly="0" labelOnly="1" outline="0" axis="axisRow" fieldPosition="0"/>
    </format>
    <format dxfId="298">
      <pivotArea dataOnly="0" labelOnly="1" fieldPosition="0">
        <references count="1">
          <reference field="1" count="10">
            <x v="0"/>
            <x v="13"/>
            <x v="26"/>
            <x v="34"/>
            <x v="42"/>
            <x v="50"/>
            <x v="66"/>
            <x v="74"/>
            <x v="83"/>
            <x v="99"/>
          </reference>
        </references>
      </pivotArea>
    </format>
    <format dxfId="297">
      <pivotArea dataOnly="0" labelOnly="1" outline="0" axis="axisValues" fieldPosition="0"/>
    </format>
    <format dxfId="296">
      <pivotArea dataOnly="0" labelOnly="1" fieldPosition="0">
        <references count="1">
          <reference field="1" count="10">
            <x v="7"/>
            <x v="17"/>
            <x v="49"/>
            <x v="57"/>
            <x v="65"/>
            <x v="73"/>
            <x v="81"/>
            <x v="90"/>
            <x v="106"/>
            <x v="138"/>
          </reference>
        </references>
      </pivotArea>
    </format>
    <format dxfId="295">
      <pivotArea dataOnly="0" labelOnly="1" fieldPosition="0">
        <references count="1">
          <reference field="1" count="10">
            <x v="20"/>
            <x v="28"/>
            <x v="52"/>
            <x v="60"/>
            <x v="68"/>
            <x v="85"/>
            <x v="93"/>
            <x v="101"/>
            <x v="125"/>
            <x v="133"/>
          </reference>
        </references>
      </pivotArea>
    </format>
    <format dxfId="294">
      <pivotArea outline="0" collapsedLevelsAreSubtotals="1" fieldPosition="0"/>
    </format>
  </formats>
  <pivotTableStyleInfo name="PivotStyleDark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4F7C7C1-E35C-46F7-ADDA-AD4245CC5D9F}" name="PivotTable5" cacheId="0" applyNumberFormats="0" applyBorderFormats="0" applyFontFormats="0" applyPatternFormats="0" applyAlignmentFormats="0" applyWidthHeightFormats="1" dataCaption="Values" updatedVersion="8" minRefreshableVersion="3" rowGrandTotals="0" itemPrintTitles="1" createdVersion="8" indent="0" multipleFieldFilters="0" chartFormat="16">
  <location ref="A10:B15"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TOP 10)" fld="8" baseField="0" baseItem="0"/>
  </dataFields>
  <formats count="9">
    <format dxfId="312">
      <pivotArea field="1" type="button" dataOnly="0" labelOnly="1" outline="0" axis="axisRow" fieldPosition="0"/>
    </format>
    <format dxfId="311">
      <pivotArea dataOnly="0" labelOnly="1" outline="0" axis="axisValues" fieldPosition="0"/>
    </format>
    <format dxfId="310">
      <pivotArea type="all" dataOnly="0" outline="0" fieldPosition="0"/>
    </format>
    <format dxfId="309">
      <pivotArea outline="0" collapsedLevelsAreSubtotals="1" fieldPosition="0"/>
    </format>
    <format dxfId="308">
      <pivotArea field="1" type="button" dataOnly="0" labelOnly="1" outline="0" axis="axisRow" fieldPosition="0"/>
    </format>
    <format dxfId="307">
      <pivotArea dataOnly="0" labelOnly="1" fieldPosition="0">
        <references count="1">
          <reference field="1" count="10">
            <x v="0"/>
            <x v="8"/>
            <x v="18"/>
            <x v="58"/>
            <x v="66"/>
            <x v="91"/>
            <x v="107"/>
            <x v="115"/>
            <x v="123"/>
            <x v="131"/>
          </reference>
        </references>
      </pivotArea>
    </format>
    <format dxfId="306">
      <pivotArea dataOnly="0" labelOnly="1" outline="0" axis="axisValues" fieldPosition="0"/>
    </format>
    <format dxfId="305">
      <pivotArea dataOnly="0" labelOnly="1" fieldPosition="0">
        <references count="1">
          <reference field="1" count="10">
            <x v="17"/>
            <x v="25"/>
            <x v="33"/>
            <x v="41"/>
            <x v="98"/>
            <x v="106"/>
            <x v="114"/>
            <x v="122"/>
            <x v="130"/>
            <x v="138"/>
          </reference>
        </references>
      </pivotArea>
    </format>
    <format dxfId="304">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5F54304-6541-42F7-984C-014C495930B1}" name="PivotTable8" cacheId="0" applyNumberFormats="0" applyBorderFormats="0" applyFontFormats="0" applyPatternFormats="0" applyAlignmentFormats="0" applyWidthHeightFormats="1" dataCaption="Values" updatedVersion="8" minRefreshableVersion="3" rowGrandTotals="0" itemPrintTitles="1" createdVersion="8" indent="0" multipleFieldFilters="0" chartFormat="8">
  <location ref="J10:K15"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TOP 5)" fld="11" baseField="0" baseItem="0" numFmtId="10"/>
  </dataFields>
  <formats count="10">
    <format dxfId="322">
      <pivotArea field="1" type="button" dataOnly="0" labelOnly="1" outline="0" axis="axisRow" fieldPosition="0"/>
    </format>
    <format dxfId="321">
      <pivotArea dataOnly="0" labelOnly="1" outline="0" axis="axisValues" fieldPosition="0"/>
    </format>
    <format dxfId="320">
      <pivotArea type="all" dataOnly="0" outline="0" fieldPosition="0"/>
    </format>
    <format dxfId="319">
      <pivotArea outline="0" collapsedLevelsAreSubtotals="1" fieldPosition="0"/>
    </format>
    <format dxfId="318">
      <pivotArea field="1" type="button" dataOnly="0" labelOnly="1" outline="0" axis="axisRow" fieldPosition="0"/>
    </format>
    <format dxfId="317">
      <pivotArea dataOnly="0" labelOnly="1" fieldPosition="0">
        <references count="1">
          <reference field="1" count="5">
            <x v="13"/>
            <x v="26"/>
            <x v="34"/>
            <x v="74"/>
            <x v="83"/>
          </reference>
        </references>
      </pivotArea>
    </format>
    <format dxfId="316">
      <pivotArea dataOnly="0" labelOnly="1" outline="0" axis="axisValues" fieldPosition="0"/>
    </format>
    <format dxfId="315">
      <pivotArea dataOnly="0" labelOnly="1" fieldPosition="0">
        <references count="1">
          <reference field="1" count="5">
            <x v="7"/>
            <x v="49"/>
            <x v="57"/>
            <x v="73"/>
            <x v="90"/>
          </reference>
        </references>
      </pivotArea>
    </format>
    <format dxfId="314">
      <pivotArea outline="0" collapsedLevelsAreSubtotals="1" fieldPosition="0"/>
    </format>
    <format dxfId="313">
      <pivotArea dataOnly="0" labelOnly="1" fieldPosition="0">
        <references count="1">
          <reference field="1" count="5">
            <x v="20"/>
            <x v="28"/>
            <x v="68"/>
            <x v="101"/>
            <x v="133"/>
          </reference>
        </references>
      </pivotArea>
    </format>
  </formats>
  <chartFormats count="1">
    <chartFormat chart="0" format="1" series="1">
      <pivotArea type="data" outline="0" fieldPosition="0">
        <references count="1">
          <reference field="4294967294" count="1" selected="0">
            <x v="0"/>
          </reference>
        </references>
      </pivotArea>
    </chartFormat>
  </chartFormats>
  <pivotTableStyleInfo name="PivotStyleDark16"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5B18041-A4A1-4C18-AD2F-6E622941FBD8}" name="PivotTable7" cacheId="0" applyNumberFormats="0" applyBorderFormats="0" applyFontFormats="0" applyPatternFormats="0" applyAlignmentFormats="0" applyWidthHeightFormats="1" dataCaption="Values" updatedVersion="8" minRefreshableVersion="3" rowGrandTotals="0" itemPrintTitles="1" createdVersion="8" indent="0" multipleFieldFilters="0" chartFormat="6">
  <location ref="G10:H15" firstHeaderRow="1" firstDataRow="1" firstDataCol="1"/>
  <pivotFields count="12">
    <pivotField showAll="0"/>
    <pivotField axis="axisRow" showAll="0" measureFilter="1">
      <items count="142">
        <item x="140"/>
        <item x="139"/>
        <item x="138"/>
        <item x="137"/>
        <item x="136"/>
        <item x="135"/>
        <item x="134"/>
        <item x="133"/>
        <item x="132"/>
        <item x="131"/>
        <item x="129"/>
        <item x="128"/>
        <item x="4"/>
        <item x="127"/>
        <item x="130"/>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 Target Hit % (TOP 5)" fld="10" baseField="0" baseItem="0" numFmtId="10"/>
  </dataFields>
  <formats count="10">
    <format dxfId="332">
      <pivotArea field="1" type="button" dataOnly="0" labelOnly="1" outline="0" axis="axisRow" fieldPosition="0"/>
    </format>
    <format dxfId="331">
      <pivotArea dataOnly="0" labelOnly="1" outline="0" axis="axisValues" fieldPosition="0"/>
    </format>
    <format dxfId="330">
      <pivotArea type="all" dataOnly="0" outline="0" fieldPosition="0"/>
    </format>
    <format dxfId="329">
      <pivotArea outline="0" collapsedLevelsAreSubtotals="1" fieldPosition="0"/>
    </format>
    <format dxfId="328">
      <pivotArea field="1" type="button" dataOnly="0" labelOnly="1" outline="0" axis="axisRow" fieldPosition="0"/>
    </format>
    <format dxfId="327">
      <pivotArea dataOnly="0" labelOnly="1" fieldPosition="0">
        <references count="1">
          <reference field="1" count="5">
            <x v="8"/>
            <x v="58"/>
            <x v="107"/>
            <x v="115"/>
            <x v="123"/>
          </reference>
        </references>
      </pivotArea>
    </format>
    <format dxfId="326">
      <pivotArea dataOnly="0" labelOnly="1" outline="0" axis="axisValues" fieldPosition="0"/>
    </format>
    <format dxfId="325">
      <pivotArea dataOnly="0" labelOnly="1" fieldPosition="0">
        <references count="1">
          <reference field="1" count="5">
            <x v="33"/>
            <x v="41"/>
            <x v="98"/>
            <x v="114"/>
            <x v="122"/>
          </reference>
        </references>
      </pivotArea>
    </format>
    <format dxfId="324">
      <pivotArea outline="0" collapsedLevelsAreSubtotals="1" fieldPosition="0"/>
    </format>
    <format dxfId="323">
      <pivotArea dataOnly="0" labelOnly="1" fieldPosition="0">
        <references count="1">
          <reference field="1" count="0"/>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BE8A147-8A8C-4543-B4A9-45CF4F46570A}" sourceName="Region">
  <pivotTables>
    <pivotTable tabId="5" name="PivotTable5"/>
    <pivotTable tabId="5" name="PivotTable6"/>
    <pivotTable tabId="5" name="PivotTable1"/>
    <pivotTable tabId="5" name="PivotTable8"/>
    <pivotTable tabId="5" name="PivotTable7"/>
  </pivotTables>
  <data>
    <tabular pivotCacheId="651747714">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A6C04A2-970D-4C69-95C1-24E798B61051}" cache="Slicer_Region" caption="Region" columnCount="8" showCaption="0" style="Slicer Style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2493-D725-4F2F-BA2E-0211B654A6D7}">
  <dimension ref="A2:T156"/>
  <sheetViews>
    <sheetView tabSelected="1" zoomScale="93" zoomScaleNormal="85" workbookViewId="0">
      <selection activeCell="M24" sqref="M24"/>
    </sheetView>
  </sheetViews>
  <sheetFormatPr defaultRowHeight="13.8" x14ac:dyDescent="0.25"/>
  <cols>
    <col min="1" max="1" width="17.77734375" style="17" customWidth="1"/>
    <col min="2" max="2" width="21.109375" style="17" customWidth="1"/>
    <col min="3" max="3" width="2.77734375" style="17" customWidth="1"/>
    <col min="4" max="4" width="17.77734375" style="17" customWidth="1"/>
    <col min="5" max="5" width="25.33203125" style="17" customWidth="1"/>
    <col min="6" max="6" width="2.77734375" style="17" customWidth="1"/>
    <col min="7" max="7" width="17.77734375" style="17" customWidth="1"/>
    <col min="8" max="8" width="20.44140625" style="17" customWidth="1"/>
    <col min="9" max="9" width="2.77734375" style="17" customWidth="1"/>
    <col min="10" max="10" width="17.77734375" style="17" customWidth="1"/>
    <col min="11" max="11" width="28.33203125" style="17" customWidth="1"/>
    <col min="12" max="12" width="3.44140625" style="17" customWidth="1"/>
    <col min="13" max="13" width="17.88671875" style="17" customWidth="1"/>
    <col min="14" max="14" width="17.77734375" style="17" customWidth="1"/>
    <col min="15" max="15" width="5.21875" style="17" customWidth="1"/>
    <col min="16" max="16" width="14.5546875" style="17" customWidth="1"/>
    <col min="17" max="16384" width="8.88671875" style="17"/>
  </cols>
  <sheetData>
    <row r="2" spans="1:20" ht="13.8" customHeight="1" x14ac:dyDescent="0.25">
      <c r="A2" s="31" t="s">
        <v>307</v>
      </c>
      <c r="B2" s="31"/>
      <c r="C2" s="31"/>
      <c r="D2" s="31"/>
      <c r="E2" s="31"/>
      <c r="F2" s="31"/>
      <c r="G2" s="31"/>
      <c r="H2" s="31"/>
      <c r="I2" s="31"/>
      <c r="J2" s="31"/>
      <c r="K2" s="31"/>
      <c r="M2" s="39" t="s">
        <v>309</v>
      </c>
      <c r="N2" s="40"/>
      <c r="O2" s="18"/>
      <c r="P2" s="18"/>
      <c r="Q2" s="18"/>
      <c r="R2" s="19"/>
      <c r="S2" s="19"/>
      <c r="T2" s="19"/>
    </row>
    <row r="3" spans="1:20" ht="13.8" customHeight="1" x14ac:dyDescent="0.25">
      <c r="A3" s="31"/>
      <c r="B3" s="31"/>
      <c r="C3" s="31"/>
      <c r="D3" s="31"/>
      <c r="E3" s="31"/>
      <c r="F3" s="31"/>
      <c r="G3" s="31"/>
      <c r="H3" s="31"/>
      <c r="I3" s="31"/>
      <c r="J3" s="31"/>
      <c r="K3" s="31"/>
      <c r="M3" s="41"/>
      <c r="N3" s="42"/>
      <c r="O3" s="18"/>
      <c r="P3" s="18"/>
      <c r="Q3" s="18"/>
      <c r="R3" s="19"/>
      <c r="S3" s="19"/>
      <c r="T3" s="19"/>
    </row>
    <row r="4" spans="1:20" ht="13.8" customHeight="1" x14ac:dyDescent="0.25">
      <c r="A4" s="31"/>
      <c r="B4" s="31"/>
      <c r="C4" s="31"/>
      <c r="D4" s="31"/>
      <c r="E4" s="31"/>
      <c r="F4" s="31"/>
      <c r="G4" s="31"/>
      <c r="H4" s="31"/>
      <c r="I4" s="31"/>
      <c r="J4" s="31"/>
      <c r="K4" s="31"/>
      <c r="M4" s="35">
        <f>COUNTA('RAW DATA'!A2:A142)</f>
        <v>141</v>
      </c>
      <c r="N4" s="36"/>
      <c r="O4" s="20"/>
      <c r="P4" s="18"/>
      <c r="Q4" s="18"/>
      <c r="R4" s="19"/>
      <c r="S4" s="19"/>
      <c r="T4" s="19"/>
    </row>
    <row r="5" spans="1:20" ht="13.8" customHeight="1" x14ac:dyDescent="0.25">
      <c r="M5" s="37"/>
      <c r="N5" s="38"/>
      <c r="O5" s="20"/>
      <c r="P5" s="20"/>
    </row>
    <row r="6" spans="1:20" ht="13.8" customHeight="1" x14ac:dyDescent="0.25">
      <c r="E6" s="32" t="s">
        <v>311</v>
      </c>
      <c r="F6" s="33"/>
      <c r="G6" s="34"/>
      <c r="O6" s="20"/>
      <c r="P6" s="20"/>
    </row>
    <row r="7" spans="1:20" ht="25.2" x14ac:dyDescent="0.45">
      <c r="M7" s="11" t="s">
        <v>308</v>
      </c>
      <c r="N7" s="12" t="s">
        <v>310</v>
      </c>
    </row>
    <row r="8" spans="1:20" ht="25.2" x14ac:dyDescent="0.45">
      <c r="M8" s="16" t="s">
        <v>23</v>
      </c>
      <c r="N8" s="43">
        <v>18</v>
      </c>
    </row>
    <row r="9" spans="1:20" ht="14.4" x14ac:dyDescent="0.3">
      <c r="M9" s="23"/>
      <c r="N9" s="23"/>
      <c r="P9" s="21"/>
      <c r="Q9" s="21"/>
      <c r="R9" s="22"/>
    </row>
    <row r="10" spans="1:20" x14ac:dyDescent="0.25">
      <c r="A10" s="9" t="s">
        <v>302</v>
      </c>
      <c r="B10" s="10" t="s">
        <v>303</v>
      </c>
      <c r="D10" s="9" t="s">
        <v>302</v>
      </c>
      <c r="E10" s="10" t="s">
        <v>304</v>
      </c>
      <c r="G10" s="9" t="s">
        <v>302</v>
      </c>
      <c r="H10" s="10" t="s">
        <v>305</v>
      </c>
      <c r="J10" s="9" t="s">
        <v>302</v>
      </c>
      <c r="K10" s="10" t="s">
        <v>306</v>
      </c>
      <c r="P10" s="21"/>
      <c r="Q10" s="21"/>
    </row>
    <row r="11" spans="1:20" x14ac:dyDescent="0.25">
      <c r="A11" s="24" t="s">
        <v>299</v>
      </c>
      <c r="B11" s="25">
        <v>316</v>
      </c>
      <c r="D11" s="24" t="s">
        <v>267</v>
      </c>
      <c r="E11" s="28">
        <v>245</v>
      </c>
      <c r="G11" s="44" t="s">
        <v>299</v>
      </c>
      <c r="H11" s="13">
        <v>0.63200000000000001</v>
      </c>
      <c r="J11" s="24" t="s">
        <v>267</v>
      </c>
      <c r="K11" s="13">
        <v>0.51</v>
      </c>
    </row>
    <row r="12" spans="1:20" ht="14.4" x14ac:dyDescent="0.3">
      <c r="A12" s="24" t="s">
        <v>219</v>
      </c>
      <c r="B12" s="26">
        <v>318</v>
      </c>
      <c r="D12" s="24" t="s">
        <v>235</v>
      </c>
      <c r="E12" s="29">
        <v>211</v>
      </c>
      <c r="G12" s="45" t="s">
        <v>219</v>
      </c>
      <c r="H12" s="14">
        <v>0.63600000000000001</v>
      </c>
      <c r="J12" s="24" t="s">
        <v>235</v>
      </c>
      <c r="K12" s="14">
        <v>0.57800000000000007</v>
      </c>
      <c r="M12" s="23"/>
      <c r="N12" s="23"/>
    </row>
    <row r="13" spans="1:20" ht="14.4" x14ac:dyDescent="0.3">
      <c r="A13" s="24" t="s">
        <v>187</v>
      </c>
      <c r="B13" s="26">
        <v>384</v>
      </c>
      <c r="D13" s="24" t="s">
        <v>123</v>
      </c>
      <c r="E13" s="29">
        <v>249</v>
      </c>
      <c r="G13" s="45" t="s">
        <v>187</v>
      </c>
      <c r="H13" s="14">
        <v>0.76800000000000002</v>
      </c>
      <c r="J13" s="24" t="s">
        <v>123</v>
      </c>
      <c r="K13" s="14">
        <v>0.502</v>
      </c>
      <c r="M13" s="23"/>
      <c r="N13" s="23"/>
    </row>
    <row r="14" spans="1:20" ht="14.4" x14ac:dyDescent="0.3">
      <c r="A14" s="24" t="s">
        <v>75</v>
      </c>
      <c r="B14" s="26">
        <v>324</v>
      </c>
      <c r="D14" s="24" t="s">
        <v>107</v>
      </c>
      <c r="E14" s="29">
        <v>213</v>
      </c>
      <c r="G14" s="45" t="s">
        <v>75</v>
      </c>
      <c r="H14" s="14">
        <v>0.64800000000000002</v>
      </c>
      <c r="J14" s="24" t="s">
        <v>107</v>
      </c>
      <c r="K14" s="14">
        <v>0.57400000000000007</v>
      </c>
      <c r="M14" s="23"/>
      <c r="N14" s="23"/>
    </row>
    <row r="15" spans="1:20" ht="14.4" x14ac:dyDescent="0.3">
      <c r="A15" s="24" t="s">
        <v>43</v>
      </c>
      <c r="B15" s="27">
        <v>376</v>
      </c>
      <c r="D15" s="24" t="s">
        <v>91</v>
      </c>
      <c r="E15" s="30">
        <v>214</v>
      </c>
      <c r="G15" s="46" t="s">
        <v>43</v>
      </c>
      <c r="H15" s="15">
        <v>0.752</v>
      </c>
      <c r="J15" s="24" t="s">
        <v>91</v>
      </c>
      <c r="K15" s="15">
        <v>0.57200000000000006</v>
      </c>
      <c r="M15" s="23"/>
      <c r="N15" s="23"/>
    </row>
    <row r="16" spans="1:20" ht="14.4" x14ac:dyDescent="0.3">
      <c r="A16" s="23"/>
      <c r="B16" s="23"/>
      <c r="D16" s="23"/>
      <c r="E16" s="23"/>
      <c r="M16" s="23"/>
      <c r="N16" s="23"/>
    </row>
    <row r="17" spans="1:14" ht="14.4" x14ac:dyDescent="0.3">
      <c r="A17" s="23"/>
      <c r="B17" s="23"/>
      <c r="D17" s="23"/>
      <c r="E17" s="23"/>
      <c r="M17" s="23"/>
      <c r="N17" s="23"/>
    </row>
    <row r="18" spans="1:14" ht="14.4" x14ac:dyDescent="0.3">
      <c r="A18" s="23"/>
      <c r="B18" s="23"/>
      <c r="D18" s="23"/>
      <c r="E18" s="23"/>
      <c r="M18" s="23"/>
      <c r="N18" s="23"/>
    </row>
    <row r="19" spans="1:14" ht="14.4" x14ac:dyDescent="0.3">
      <c r="A19" s="23"/>
      <c r="B19" s="23"/>
      <c r="D19" s="23"/>
      <c r="E19" s="23"/>
      <c r="M19" s="23"/>
      <c r="N19" s="23"/>
    </row>
    <row r="20" spans="1:14" ht="14.4" x14ac:dyDescent="0.3">
      <c r="A20" s="23"/>
      <c r="B20" s="23"/>
      <c r="D20" s="23"/>
      <c r="E20" s="23"/>
      <c r="M20" s="23"/>
      <c r="N20" s="23"/>
    </row>
    <row r="21" spans="1:14" ht="14.4" x14ac:dyDescent="0.3">
      <c r="A21" s="23"/>
      <c r="B21" s="23"/>
      <c r="D21" s="23"/>
      <c r="E21" s="23"/>
      <c r="M21" s="23"/>
      <c r="N21" s="23"/>
    </row>
    <row r="22" spans="1:14" ht="14.4" x14ac:dyDescent="0.3">
      <c r="M22" s="23"/>
      <c r="N22" s="23"/>
    </row>
    <row r="23" spans="1:14" ht="14.4" x14ac:dyDescent="0.3">
      <c r="M23" s="23"/>
      <c r="N23" s="23"/>
    </row>
    <row r="24" spans="1:14" ht="14.4" x14ac:dyDescent="0.3">
      <c r="M24" s="23"/>
      <c r="N24" s="23"/>
    </row>
    <row r="25" spans="1:14" ht="14.4" x14ac:dyDescent="0.3">
      <c r="M25" s="23"/>
      <c r="N25" s="23"/>
    </row>
    <row r="26" spans="1:14" ht="14.4" x14ac:dyDescent="0.3">
      <c r="M26" s="23"/>
      <c r="N26" s="23"/>
    </row>
    <row r="27" spans="1:14" ht="14.4" x14ac:dyDescent="0.3">
      <c r="M27" s="23"/>
      <c r="N27" s="23"/>
    </row>
    <row r="28" spans="1:14" ht="14.4" x14ac:dyDescent="0.3">
      <c r="M28" s="23"/>
      <c r="N28" s="23"/>
    </row>
    <row r="29" spans="1:14" ht="14.4" x14ac:dyDescent="0.3">
      <c r="M29" s="23"/>
      <c r="N29" s="23"/>
    </row>
    <row r="30" spans="1:14" ht="14.4" x14ac:dyDescent="0.3">
      <c r="M30" s="23"/>
      <c r="N30" s="23"/>
    </row>
    <row r="31" spans="1:14" ht="14.4" x14ac:dyDescent="0.3">
      <c r="M31" s="23"/>
      <c r="N31" s="23"/>
    </row>
    <row r="32" spans="1:14" ht="14.4" x14ac:dyDescent="0.3">
      <c r="M32" s="23"/>
      <c r="N32" s="23"/>
    </row>
    <row r="33" spans="13:14" ht="14.4" x14ac:dyDescent="0.3">
      <c r="M33" s="23"/>
      <c r="N33" s="23"/>
    </row>
    <row r="34" spans="13:14" ht="14.4" x14ac:dyDescent="0.3">
      <c r="M34" s="23"/>
      <c r="N34" s="23"/>
    </row>
    <row r="35" spans="13:14" ht="14.4" x14ac:dyDescent="0.3">
      <c r="M35" s="23"/>
      <c r="N35" s="23"/>
    </row>
    <row r="36" spans="13:14" ht="14.4" x14ac:dyDescent="0.3">
      <c r="M36" s="23"/>
      <c r="N36" s="23"/>
    </row>
    <row r="37" spans="13:14" ht="14.4" x14ac:dyDescent="0.3">
      <c r="M37" s="23"/>
      <c r="N37" s="23"/>
    </row>
    <row r="38" spans="13:14" ht="14.4" x14ac:dyDescent="0.3">
      <c r="M38" s="23"/>
      <c r="N38" s="23"/>
    </row>
    <row r="39" spans="13:14" ht="14.4" x14ac:dyDescent="0.3">
      <c r="M39" s="23"/>
      <c r="N39" s="23"/>
    </row>
    <row r="40" spans="13:14" ht="14.4" x14ac:dyDescent="0.3">
      <c r="M40" s="23"/>
      <c r="N40" s="23"/>
    </row>
    <row r="41" spans="13:14" ht="14.4" x14ac:dyDescent="0.3">
      <c r="M41" s="23"/>
      <c r="N41" s="23"/>
    </row>
    <row r="42" spans="13:14" ht="14.4" x14ac:dyDescent="0.3">
      <c r="M42" s="23"/>
      <c r="N42" s="23"/>
    </row>
    <row r="43" spans="13:14" ht="14.4" x14ac:dyDescent="0.3">
      <c r="M43" s="23"/>
      <c r="N43" s="23"/>
    </row>
    <row r="44" spans="13:14" ht="14.4" x14ac:dyDescent="0.3">
      <c r="M44" s="23"/>
      <c r="N44" s="23"/>
    </row>
    <row r="45" spans="13:14" ht="14.4" x14ac:dyDescent="0.3">
      <c r="M45" s="23"/>
      <c r="N45" s="23"/>
    </row>
    <row r="46" spans="13:14" ht="14.4" x14ac:dyDescent="0.3">
      <c r="M46" s="23"/>
      <c r="N46" s="23"/>
    </row>
    <row r="47" spans="13:14" ht="14.4" x14ac:dyDescent="0.3">
      <c r="M47" s="23"/>
      <c r="N47" s="23"/>
    </row>
    <row r="48" spans="13:14" ht="14.4" x14ac:dyDescent="0.3">
      <c r="M48" s="23"/>
      <c r="N48" s="23"/>
    </row>
    <row r="49" spans="13:14" ht="14.4" x14ac:dyDescent="0.3">
      <c r="M49" s="23"/>
      <c r="N49" s="23"/>
    </row>
    <row r="50" spans="13:14" ht="14.4" x14ac:dyDescent="0.3">
      <c r="M50" s="23"/>
      <c r="N50" s="23"/>
    </row>
    <row r="51" spans="13:14" ht="14.4" x14ac:dyDescent="0.3">
      <c r="M51" s="23"/>
      <c r="N51" s="23"/>
    </row>
    <row r="52" spans="13:14" ht="14.4" x14ac:dyDescent="0.3">
      <c r="M52" s="23"/>
      <c r="N52" s="23"/>
    </row>
    <row r="53" spans="13:14" ht="14.4" x14ac:dyDescent="0.3">
      <c r="M53" s="23"/>
      <c r="N53" s="23"/>
    </row>
    <row r="54" spans="13:14" ht="14.4" x14ac:dyDescent="0.3">
      <c r="M54" s="23"/>
      <c r="N54" s="23"/>
    </row>
    <row r="55" spans="13:14" ht="14.4" x14ac:dyDescent="0.3">
      <c r="M55" s="23"/>
      <c r="N55" s="23"/>
    </row>
    <row r="56" spans="13:14" ht="14.4" x14ac:dyDescent="0.3">
      <c r="M56" s="23"/>
      <c r="N56" s="23"/>
    </row>
    <row r="57" spans="13:14" ht="14.4" x14ac:dyDescent="0.3">
      <c r="M57" s="23"/>
      <c r="N57" s="23"/>
    </row>
    <row r="58" spans="13:14" ht="14.4" x14ac:dyDescent="0.3">
      <c r="M58" s="23"/>
      <c r="N58" s="23"/>
    </row>
    <row r="59" spans="13:14" ht="14.4" x14ac:dyDescent="0.3">
      <c r="M59" s="23"/>
      <c r="N59" s="23"/>
    </row>
    <row r="60" spans="13:14" ht="14.4" x14ac:dyDescent="0.3">
      <c r="M60" s="23"/>
      <c r="N60" s="23"/>
    </row>
    <row r="61" spans="13:14" ht="14.4" x14ac:dyDescent="0.3">
      <c r="M61" s="23"/>
      <c r="N61" s="23"/>
    </row>
    <row r="62" spans="13:14" ht="14.4" x14ac:dyDescent="0.3">
      <c r="M62" s="23"/>
      <c r="N62" s="23"/>
    </row>
    <row r="63" spans="13:14" ht="14.4" x14ac:dyDescent="0.3">
      <c r="M63" s="23"/>
      <c r="N63" s="23"/>
    </row>
    <row r="64" spans="13:14" ht="14.4" x14ac:dyDescent="0.3">
      <c r="M64" s="23"/>
      <c r="N64" s="23"/>
    </row>
    <row r="65" spans="13:14" ht="14.4" x14ac:dyDescent="0.3">
      <c r="M65" s="23"/>
      <c r="N65" s="23"/>
    </row>
    <row r="66" spans="13:14" ht="14.4" x14ac:dyDescent="0.3">
      <c r="M66" s="23"/>
      <c r="N66" s="23"/>
    </row>
    <row r="67" spans="13:14" ht="14.4" x14ac:dyDescent="0.3">
      <c r="M67" s="23"/>
      <c r="N67" s="23"/>
    </row>
    <row r="68" spans="13:14" ht="14.4" x14ac:dyDescent="0.3">
      <c r="M68" s="23"/>
      <c r="N68" s="23"/>
    </row>
    <row r="69" spans="13:14" ht="14.4" x14ac:dyDescent="0.3">
      <c r="M69" s="23"/>
      <c r="N69" s="23"/>
    </row>
    <row r="70" spans="13:14" ht="14.4" x14ac:dyDescent="0.3">
      <c r="M70" s="23"/>
      <c r="N70" s="23"/>
    </row>
    <row r="71" spans="13:14" ht="14.4" x14ac:dyDescent="0.3">
      <c r="M71" s="23"/>
      <c r="N71" s="23"/>
    </row>
    <row r="72" spans="13:14" ht="14.4" x14ac:dyDescent="0.3">
      <c r="M72" s="23"/>
      <c r="N72" s="23"/>
    </row>
    <row r="73" spans="13:14" ht="14.4" x14ac:dyDescent="0.3">
      <c r="M73" s="23"/>
      <c r="N73" s="23"/>
    </row>
    <row r="74" spans="13:14" ht="14.4" x14ac:dyDescent="0.3">
      <c r="M74" s="23"/>
      <c r="N74" s="23"/>
    </row>
    <row r="75" spans="13:14" ht="14.4" x14ac:dyDescent="0.3">
      <c r="M75" s="23"/>
      <c r="N75" s="23"/>
    </row>
    <row r="76" spans="13:14" ht="14.4" x14ac:dyDescent="0.3">
      <c r="M76" s="23"/>
      <c r="N76" s="23"/>
    </row>
    <row r="77" spans="13:14" ht="14.4" x14ac:dyDescent="0.3">
      <c r="M77" s="23"/>
      <c r="N77" s="23"/>
    </row>
    <row r="78" spans="13:14" ht="14.4" x14ac:dyDescent="0.3">
      <c r="M78" s="23"/>
      <c r="N78" s="23"/>
    </row>
    <row r="79" spans="13:14" ht="14.4" x14ac:dyDescent="0.3">
      <c r="M79" s="23"/>
      <c r="N79" s="23"/>
    </row>
    <row r="80" spans="13:14" ht="14.4" x14ac:dyDescent="0.3">
      <c r="M80" s="23"/>
      <c r="N80" s="23"/>
    </row>
    <row r="81" spans="13:14" ht="14.4" x14ac:dyDescent="0.3">
      <c r="M81" s="23"/>
      <c r="N81" s="23"/>
    </row>
    <row r="82" spans="13:14" ht="14.4" x14ac:dyDescent="0.3">
      <c r="M82" s="23"/>
      <c r="N82" s="23"/>
    </row>
    <row r="83" spans="13:14" ht="14.4" x14ac:dyDescent="0.3">
      <c r="M83" s="23"/>
      <c r="N83" s="23"/>
    </row>
    <row r="84" spans="13:14" ht="14.4" x14ac:dyDescent="0.3">
      <c r="M84" s="23"/>
      <c r="N84" s="23"/>
    </row>
    <row r="85" spans="13:14" ht="14.4" x14ac:dyDescent="0.3">
      <c r="M85" s="23"/>
      <c r="N85" s="23"/>
    </row>
    <row r="86" spans="13:14" ht="14.4" x14ac:dyDescent="0.3">
      <c r="M86" s="23"/>
      <c r="N86" s="23"/>
    </row>
    <row r="87" spans="13:14" ht="14.4" x14ac:dyDescent="0.3">
      <c r="M87" s="23"/>
      <c r="N87" s="23"/>
    </row>
    <row r="88" spans="13:14" ht="14.4" x14ac:dyDescent="0.3">
      <c r="M88" s="23"/>
      <c r="N88" s="23"/>
    </row>
    <row r="89" spans="13:14" ht="14.4" x14ac:dyDescent="0.3">
      <c r="M89" s="23"/>
      <c r="N89" s="23"/>
    </row>
    <row r="90" spans="13:14" ht="14.4" x14ac:dyDescent="0.3">
      <c r="M90" s="23"/>
      <c r="N90" s="23"/>
    </row>
    <row r="91" spans="13:14" ht="14.4" x14ac:dyDescent="0.3">
      <c r="M91" s="23"/>
      <c r="N91" s="23"/>
    </row>
    <row r="92" spans="13:14" ht="14.4" x14ac:dyDescent="0.3">
      <c r="M92" s="23"/>
      <c r="N92" s="23"/>
    </row>
    <row r="93" spans="13:14" ht="14.4" x14ac:dyDescent="0.3">
      <c r="M93" s="23"/>
      <c r="N93" s="23"/>
    </row>
    <row r="94" spans="13:14" ht="14.4" x14ac:dyDescent="0.3">
      <c r="M94" s="23"/>
      <c r="N94" s="23"/>
    </row>
    <row r="95" spans="13:14" ht="14.4" x14ac:dyDescent="0.3">
      <c r="M95" s="23"/>
      <c r="N95" s="23"/>
    </row>
    <row r="96" spans="13:14" ht="14.4" x14ac:dyDescent="0.3">
      <c r="M96" s="23"/>
      <c r="N96" s="23"/>
    </row>
    <row r="97" spans="13:14" ht="14.4" x14ac:dyDescent="0.3">
      <c r="M97" s="23"/>
      <c r="N97" s="23"/>
    </row>
    <row r="98" spans="13:14" ht="14.4" x14ac:dyDescent="0.3">
      <c r="M98" s="23"/>
      <c r="N98" s="23"/>
    </row>
    <row r="99" spans="13:14" ht="14.4" x14ac:dyDescent="0.3">
      <c r="M99" s="23"/>
      <c r="N99" s="23"/>
    </row>
    <row r="100" spans="13:14" ht="14.4" x14ac:dyDescent="0.3">
      <c r="M100" s="23"/>
      <c r="N100" s="23"/>
    </row>
    <row r="101" spans="13:14" ht="14.4" x14ac:dyDescent="0.3">
      <c r="M101" s="23"/>
      <c r="N101" s="23"/>
    </row>
    <row r="102" spans="13:14" ht="14.4" x14ac:dyDescent="0.3">
      <c r="M102" s="23"/>
      <c r="N102" s="23"/>
    </row>
    <row r="103" spans="13:14" ht="14.4" x14ac:dyDescent="0.3">
      <c r="M103" s="23"/>
      <c r="N103" s="23"/>
    </row>
    <row r="104" spans="13:14" ht="14.4" x14ac:dyDescent="0.3">
      <c r="M104" s="23"/>
      <c r="N104" s="23"/>
    </row>
    <row r="105" spans="13:14" ht="14.4" x14ac:dyDescent="0.3">
      <c r="M105" s="23"/>
      <c r="N105" s="23"/>
    </row>
    <row r="106" spans="13:14" ht="14.4" x14ac:dyDescent="0.3">
      <c r="M106" s="23"/>
      <c r="N106" s="23"/>
    </row>
    <row r="107" spans="13:14" ht="14.4" x14ac:dyDescent="0.3">
      <c r="M107" s="23"/>
      <c r="N107" s="23"/>
    </row>
    <row r="108" spans="13:14" ht="14.4" x14ac:dyDescent="0.3">
      <c r="M108" s="23"/>
      <c r="N108" s="23"/>
    </row>
    <row r="109" spans="13:14" ht="14.4" x14ac:dyDescent="0.3">
      <c r="M109" s="23"/>
      <c r="N109" s="23"/>
    </row>
    <row r="110" spans="13:14" ht="14.4" x14ac:dyDescent="0.3">
      <c r="M110" s="23"/>
      <c r="N110" s="23"/>
    </row>
    <row r="111" spans="13:14" ht="14.4" x14ac:dyDescent="0.3">
      <c r="M111" s="23"/>
      <c r="N111" s="23"/>
    </row>
    <row r="112" spans="13:14" ht="14.4" x14ac:dyDescent="0.3">
      <c r="M112" s="23"/>
      <c r="N112" s="23"/>
    </row>
    <row r="113" spans="13:14" ht="14.4" x14ac:dyDescent="0.3">
      <c r="M113" s="23"/>
      <c r="N113" s="23"/>
    </row>
    <row r="114" spans="13:14" ht="14.4" x14ac:dyDescent="0.3">
      <c r="M114" s="23"/>
      <c r="N114" s="23"/>
    </row>
    <row r="115" spans="13:14" ht="14.4" x14ac:dyDescent="0.3">
      <c r="M115" s="23"/>
      <c r="N115" s="23"/>
    </row>
    <row r="116" spans="13:14" ht="14.4" x14ac:dyDescent="0.3">
      <c r="M116" s="23"/>
      <c r="N116" s="23"/>
    </row>
    <row r="117" spans="13:14" ht="14.4" x14ac:dyDescent="0.3">
      <c r="M117" s="23"/>
      <c r="N117" s="23"/>
    </row>
    <row r="118" spans="13:14" ht="14.4" x14ac:dyDescent="0.3">
      <c r="M118" s="23"/>
      <c r="N118" s="23"/>
    </row>
    <row r="119" spans="13:14" ht="14.4" x14ac:dyDescent="0.3">
      <c r="M119" s="23"/>
      <c r="N119" s="23"/>
    </row>
    <row r="120" spans="13:14" ht="14.4" x14ac:dyDescent="0.3">
      <c r="M120" s="23"/>
      <c r="N120" s="23"/>
    </row>
    <row r="121" spans="13:14" ht="14.4" x14ac:dyDescent="0.3">
      <c r="M121" s="23"/>
      <c r="N121" s="23"/>
    </row>
    <row r="122" spans="13:14" ht="14.4" x14ac:dyDescent="0.3">
      <c r="M122" s="23"/>
      <c r="N122" s="23"/>
    </row>
    <row r="123" spans="13:14" ht="14.4" x14ac:dyDescent="0.3">
      <c r="M123" s="23"/>
      <c r="N123" s="23"/>
    </row>
    <row r="124" spans="13:14" ht="14.4" x14ac:dyDescent="0.3">
      <c r="M124" s="23"/>
      <c r="N124" s="23"/>
    </row>
    <row r="125" spans="13:14" ht="14.4" x14ac:dyDescent="0.3">
      <c r="M125" s="23"/>
      <c r="N125" s="23"/>
    </row>
    <row r="126" spans="13:14" ht="14.4" x14ac:dyDescent="0.3">
      <c r="M126" s="23"/>
      <c r="N126" s="23"/>
    </row>
    <row r="127" spans="13:14" ht="14.4" x14ac:dyDescent="0.3">
      <c r="M127" s="23"/>
      <c r="N127" s="23"/>
    </row>
    <row r="128" spans="13:14" ht="14.4" x14ac:dyDescent="0.3">
      <c r="M128" s="23"/>
      <c r="N128" s="23"/>
    </row>
    <row r="129" spans="13:14" ht="14.4" x14ac:dyDescent="0.3">
      <c r="M129" s="23"/>
      <c r="N129" s="23"/>
    </row>
    <row r="130" spans="13:14" ht="14.4" x14ac:dyDescent="0.3">
      <c r="M130" s="23"/>
      <c r="N130" s="23"/>
    </row>
    <row r="131" spans="13:14" ht="14.4" x14ac:dyDescent="0.3">
      <c r="M131" s="23"/>
      <c r="N131" s="23"/>
    </row>
    <row r="132" spans="13:14" ht="14.4" x14ac:dyDescent="0.3">
      <c r="M132" s="23"/>
      <c r="N132" s="23"/>
    </row>
    <row r="133" spans="13:14" ht="14.4" x14ac:dyDescent="0.3">
      <c r="M133" s="23"/>
      <c r="N133" s="23"/>
    </row>
    <row r="134" spans="13:14" ht="14.4" x14ac:dyDescent="0.3">
      <c r="M134" s="23"/>
      <c r="N134" s="23"/>
    </row>
    <row r="135" spans="13:14" ht="14.4" x14ac:dyDescent="0.3">
      <c r="M135" s="23"/>
      <c r="N135" s="23"/>
    </row>
    <row r="136" spans="13:14" ht="14.4" x14ac:dyDescent="0.3">
      <c r="M136" s="23"/>
      <c r="N136" s="23"/>
    </row>
    <row r="137" spans="13:14" ht="14.4" x14ac:dyDescent="0.3">
      <c r="M137" s="23"/>
      <c r="N137" s="23"/>
    </row>
    <row r="138" spans="13:14" ht="14.4" x14ac:dyDescent="0.3">
      <c r="M138" s="23"/>
      <c r="N138" s="23"/>
    </row>
    <row r="139" spans="13:14" ht="14.4" x14ac:dyDescent="0.3">
      <c r="M139" s="23"/>
      <c r="N139" s="23"/>
    </row>
    <row r="140" spans="13:14" ht="14.4" x14ac:dyDescent="0.3">
      <c r="M140" s="23"/>
      <c r="N140" s="23"/>
    </row>
    <row r="141" spans="13:14" ht="14.4" x14ac:dyDescent="0.3">
      <c r="M141" s="23"/>
      <c r="N141" s="23"/>
    </row>
    <row r="142" spans="13:14" ht="14.4" x14ac:dyDescent="0.3">
      <c r="M142" s="23"/>
      <c r="N142" s="23"/>
    </row>
    <row r="143" spans="13:14" ht="14.4" x14ac:dyDescent="0.3">
      <c r="M143" s="23"/>
      <c r="N143" s="23"/>
    </row>
    <row r="144" spans="13:14" ht="14.4" x14ac:dyDescent="0.3">
      <c r="M144" s="23"/>
      <c r="N144" s="23"/>
    </row>
    <row r="145" spans="13:14" ht="14.4" x14ac:dyDescent="0.3">
      <c r="M145" s="23"/>
      <c r="N145" s="23"/>
    </row>
    <row r="146" spans="13:14" ht="14.4" x14ac:dyDescent="0.3">
      <c r="M146" s="23"/>
      <c r="N146" s="23"/>
    </row>
    <row r="147" spans="13:14" ht="14.4" x14ac:dyDescent="0.3">
      <c r="M147" s="23"/>
      <c r="N147" s="23"/>
    </row>
    <row r="148" spans="13:14" ht="14.4" x14ac:dyDescent="0.3">
      <c r="M148" s="23"/>
      <c r="N148" s="23"/>
    </row>
    <row r="149" spans="13:14" ht="14.4" x14ac:dyDescent="0.3">
      <c r="M149" s="23"/>
      <c r="N149" s="23"/>
    </row>
    <row r="150" spans="13:14" ht="14.4" x14ac:dyDescent="0.3">
      <c r="M150" s="23"/>
      <c r="N150" s="23"/>
    </row>
    <row r="151" spans="13:14" ht="14.4" x14ac:dyDescent="0.3">
      <c r="M151" s="23"/>
      <c r="N151" s="23"/>
    </row>
    <row r="152" spans="13:14" ht="14.4" x14ac:dyDescent="0.3">
      <c r="M152" s="23"/>
      <c r="N152" s="23"/>
    </row>
    <row r="153" spans="13:14" ht="14.4" x14ac:dyDescent="0.3">
      <c r="M153" s="23"/>
      <c r="N153" s="23"/>
    </row>
    <row r="154" spans="13:14" ht="14.4" x14ac:dyDescent="0.3">
      <c r="M154" s="23"/>
      <c r="N154" s="23"/>
    </row>
    <row r="155" spans="13:14" ht="14.4" x14ac:dyDescent="0.3">
      <c r="M155" s="23"/>
      <c r="N155" s="23"/>
    </row>
    <row r="156" spans="13:14" ht="14.4" x14ac:dyDescent="0.3">
      <c r="M156" s="23"/>
      <c r="N156" s="23"/>
    </row>
  </sheetData>
  <mergeCells count="4">
    <mergeCell ref="M2:N3"/>
    <mergeCell ref="M4:N5"/>
    <mergeCell ref="E6:G6"/>
    <mergeCell ref="A2:K4"/>
  </mergeCells>
  <pageMargins left="0.7" right="0.7" top="0.75" bottom="0.75" header="0.3" footer="0.3"/>
  <pageSetup orientation="portrait" r:id="rId6"/>
  <drawing r:id="rId7"/>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B1" zoomScale="170" zoomScaleNormal="170" workbookViewId="0">
      <selection activeCell="K16" sqref="K1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SUM(D9:H9)</f>
        <v>285</v>
      </c>
      <c r="J9" s="5">
        <v>500</v>
      </c>
      <c r="K9" s="6">
        <f>I9/J9</f>
        <v>0.56999999999999995</v>
      </c>
      <c r="L9" s="7">
        <f>100%-K9</f>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Pradyumna Patil</cp:lastModifiedBy>
  <dcterms:created xsi:type="dcterms:W3CDTF">2022-05-30T01:30:00Z</dcterms:created>
  <dcterms:modified xsi:type="dcterms:W3CDTF">2025-04-13T18:51:43Z</dcterms:modified>
</cp:coreProperties>
</file>